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PI\"/>
    </mc:Choice>
  </mc:AlternateContent>
  <xr:revisionPtr revIDLastSave="0" documentId="13_ncr:1_{623F321F-9934-4B85-BE22-FA33DC40D482}" xr6:coauthVersionLast="47" xr6:coauthVersionMax="47" xr10:uidLastSave="{00000000-0000-0000-0000-000000000000}"/>
  <bookViews>
    <workbookView xWindow="720" yWindow="20" windowWidth="16490" windowHeight="10060" xr2:uid="{8047A938-2362-48E3-AE08-C297F0835F84}"/>
  </bookViews>
  <sheets>
    <sheet name="Show the Math" sheetId="1" r:id="rId1"/>
    <sheet name="Single Game Replace Bad G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H41" i="1"/>
  <c r="K41" i="1" s="1"/>
  <c r="K38" i="1"/>
  <c r="K35" i="1"/>
  <c r="B10" i="1"/>
  <c r="E10" i="1" s="1"/>
  <c r="E7" i="1"/>
  <c r="E3" i="1"/>
  <c r="E12" i="1" s="1"/>
  <c r="H25" i="1"/>
  <c r="K25" i="1" s="1"/>
  <c r="K22" i="1"/>
  <c r="K19" i="1"/>
  <c r="B25" i="1"/>
  <c r="E25" i="1" s="1"/>
  <c r="E22" i="1"/>
  <c r="E19" i="1"/>
  <c r="E27" i="1" s="1"/>
  <c r="E35" i="1"/>
  <c r="E43" i="1" s="1"/>
  <c r="B41" i="1"/>
  <c r="E41" i="1" s="1"/>
  <c r="E38" i="1"/>
  <c r="K44" i="1" l="1"/>
  <c r="K48" i="1" s="1"/>
  <c r="K43" i="1"/>
  <c r="E13" i="1"/>
  <c r="E15" i="1" s="1"/>
  <c r="K28" i="1"/>
  <c r="K27" i="1"/>
  <c r="L27" i="1" s="1"/>
  <c r="E28" i="1"/>
  <c r="E30" i="1" s="1"/>
  <c r="E44" i="1"/>
  <c r="K30" i="1" l="1"/>
  <c r="L28" i="1"/>
  <c r="L30" i="1"/>
</calcChain>
</file>

<file path=xl/sharedStrings.xml><?xml version="1.0" encoding="utf-8"?>
<sst xmlns="http://schemas.openxmlformats.org/spreadsheetml/2006/main" count="187" uniqueCount="78">
  <si>
    <t>Football</t>
  </si>
  <si>
    <t>SOS</t>
  </si>
  <si>
    <t>Win%</t>
  </si>
  <si>
    <t>Loss value</t>
  </si>
  <si>
    <t>Win value</t>
  </si>
  <si>
    <t>SOS Wt</t>
  </si>
  <si>
    <t>Win% Wt</t>
  </si>
  <si>
    <t>SOS value</t>
  </si>
  <si>
    <t>Win% value</t>
  </si>
  <si>
    <t>Opp. NPI</t>
  </si>
  <si>
    <t>QWB Value</t>
  </si>
  <si>
    <t>QWB Min</t>
  </si>
  <si>
    <t>Multiplier</t>
  </si>
  <si>
    <t>H/A adj</t>
  </si>
  <si>
    <t>NPI value</t>
  </si>
  <si>
    <t>H/W adjustment</t>
  </si>
  <si>
    <t>Quality Win Bonus</t>
  </si>
  <si>
    <t>Strength of Schedule</t>
  </si>
  <si>
    <t>Winning Percentage</t>
  </si>
  <si>
    <t>Women's Soccer</t>
  </si>
  <si>
    <t>Women's Volleyball</t>
  </si>
  <si>
    <t>MIT vs Williams</t>
  </si>
  <si>
    <t>MIT vs NYU</t>
  </si>
  <si>
    <t>MIT vs Middlebury (tie game)</t>
  </si>
  <si>
    <t>Field Hockey</t>
  </si>
  <si>
    <t>MIT - Away win at Roger Williams</t>
  </si>
  <si>
    <t>Hardin Simmons - home win vs Endicott</t>
  </si>
  <si>
    <t>NYU SOS</t>
  </si>
  <si>
    <t xml:space="preserve"> </t>
  </si>
  <si>
    <t>Tie - we get half of the win value</t>
  </si>
  <si>
    <t>and half of the loss value</t>
  </si>
  <si>
    <t>WFH</t>
  </si>
  <si>
    <t>50 Home</t>
  </si>
  <si>
    <t>50 Away</t>
  </si>
  <si>
    <t>40 Home</t>
  </si>
  <si>
    <t>40 Away</t>
  </si>
  <si>
    <t>30 Home</t>
  </si>
  <si>
    <t>30 Away</t>
  </si>
  <si>
    <t>20 Home</t>
  </si>
  <si>
    <t>20 Away</t>
  </si>
  <si>
    <t>Add</t>
  </si>
  <si>
    <t>WSO</t>
  </si>
  <si>
    <t>WVB</t>
  </si>
  <si>
    <t>DNC</t>
  </si>
  <si>
    <t>MSO</t>
  </si>
  <si>
    <t>QWB</t>
  </si>
  <si>
    <t>MFB</t>
  </si>
  <si>
    <t>Beat Endicott</t>
  </si>
  <si>
    <t>Springfield</t>
  </si>
  <si>
    <t>WPI</t>
  </si>
  <si>
    <t>Babson</t>
  </si>
  <si>
    <t>Wheaton</t>
  </si>
  <si>
    <t>Emerson</t>
  </si>
  <si>
    <t>Smith</t>
  </si>
  <si>
    <t>Mt Holyoke</t>
  </si>
  <si>
    <t>Wellesley</t>
  </si>
  <si>
    <t>Clark</t>
  </si>
  <si>
    <t>Coast Guard</t>
  </si>
  <si>
    <t>Salve</t>
  </si>
  <si>
    <t>YES (3)</t>
  </si>
  <si>
    <t>YES (4)</t>
  </si>
  <si>
    <t>NO (6)</t>
  </si>
  <si>
    <t>NO (7)</t>
  </si>
  <si>
    <t>NO (8)</t>
  </si>
  <si>
    <t>L Mid; Bab</t>
  </si>
  <si>
    <t>59.957 (30)</t>
  </si>
  <si>
    <t>W Tufts</t>
  </si>
  <si>
    <t>T Tufts</t>
  </si>
  <si>
    <t>64.881 (7)</t>
  </si>
  <si>
    <t>Add 62/99</t>
  </si>
  <si>
    <t>62.819 (14)</t>
  </si>
  <si>
    <t>Add 37/57</t>
  </si>
  <si>
    <t>63.448 (11)</t>
  </si>
  <si>
    <t>63.472 (11)</t>
  </si>
  <si>
    <t>No Tf/En+40/38</t>
  </si>
  <si>
    <t>69.547 (15)</t>
  </si>
  <si>
    <t>0.9 NPI value</t>
  </si>
  <si>
    <t>1.1 NPI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</si>
</sst>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9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F062-EBE8-41A3-B895-051BEF4680A1}">
  <sheetPr>
    <pageSetUpPr fitToPage="1"/>
  </sheetPr>
  <dimension ref="A1:L50"/>
  <sheetViews>
    <sheetView tabSelected="1" workbookViewId="0">
      <selection activeCell="C5" sqref="C5"/>
    </sheetView>
  </sheetViews>
  <sheetFormatPr defaultColWidth="9.1796875" defaultRowHeight="13" x14ac:dyDescent="0.3"/>
  <cols>
    <col min="1" max="1" width="17" style="2" bestFit="1" customWidth="1"/>
    <col min="2" max="2" width="9.1796875" style="2"/>
    <col min="3" max="3" width="8.54296875" style="2" bestFit="1" customWidth="1"/>
    <col min="4" max="4" width="9.1796875" style="2" bestFit="1" customWidth="1"/>
    <col min="5" max="5" width="10.26953125" style="2" bestFit="1" customWidth="1"/>
    <col min="6" max="6" width="3.1796875" style="2" customWidth="1"/>
    <col min="7" max="7" width="20.54296875" style="2" customWidth="1"/>
    <col min="8" max="8" width="9.1796875" style="2"/>
    <col min="9" max="9" width="8.54296875" style="2" bestFit="1" customWidth="1"/>
    <col min="10" max="10" width="9.1796875" style="2" bestFit="1" customWidth="1"/>
    <col min="11" max="11" width="10.26953125" style="2" bestFit="1" customWidth="1"/>
    <col min="12" max="12" width="6.453125" style="2" bestFit="1" customWidth="1"/>
    <col min="13" max="16384" width="9.1796875" style="2"/>
  </cols>
  <sheetData>
    <row r="1" spans="1:5" ht="13.5" thickBot="1" x14ac:dyDescent="0.35">
      <c r="A1" s="1" t="s">
        <v>20</v>
      </c>
      <c r="B1" s="1" t="s">
        <v>22</v>
      </c>
      <c r="C1" s="1"/>
      <c r="D1" s="1"/>
      <c r="E1" s="1"/>
    </row>
    <row r="2" spans="1:5" ht="13.5" thickTop="1" x14ac:dyDescent="0.3">
      <c r="A2" s="2" t="s">
        <v>17</v>
      </c>
      <c r="B2" s="3" t="s">
        <v>1</v>
      </c>
      <c r="C2" s="3" t="s">
        <v>5</v>
      </c>
      <c r="E2" s="3" t="s">
        <v>7</v>
      </c>
    </row>
    <row r="3" spans="1:5" x14ac:dyDescent="0.3">
      <c r="B3" s="3">
        <v>60.417000000000002</v>
      </c>
      <c r="C3" s="4">
        <v>0.8</v>
      </c>
      <c r="E3" s="5">
        <f>B3*C3</f>
        <v>48.333600000000004</v>
      </c>
    </row>
    <row r="4" spans="1:5" x14ac:dyDescent="0.3">
      <c r="B4" s="3" t="s">
        <v>27</v>
      </c>
      <c r="C4" s="3"/>
      <c r="E4" s="3"/>
    </row>
    <row r="5" spans="1:5" x14ac:dyDescent="0.3">
      <c r="B5" s="3"/>
      <c r="C5" s="3"/>
      <c r="E5" s="3"/>
    </row>
    <row r="6" spans="1:5" x14ac:dyDescent="0.3">
      <c r="A6" s="2" t="s">
        <v>18</v>
      </c>
      <c r="B6" s="3" t="s">
        <v>2</v>
      </c>
      <c r="C6" s="3" t="s">
        <v>6</v>
      </c>
      <c r="E6" s="3" t="s">
        <v>8</v>
      </c>
    </row>
    <row r="7" spans="1:5" x14ac:dyDescent="0.3">
      <c r="B7" s="3">
        <v>100</v>
      </c>
      <c r="C7" s="4">
        <v>0.2</v>
      </c>
      <c r="E7" s="5">
        <f>B7*C7</f>
        <v>20</v>
      </c>
    </row>
    <row r="8" spans="1:5" x14ac:dyDescent="0.3">
      <c r="B8" s="3"/>
      <c r="C8" s="3"/>
      <c r="E8" s="3"/>
    </row>
    <row r="9" spans="1:5" x14ac:dyDescent="0.3">
      <c r="A9" s="2" t="s">
        <v>16</v>
      </c>
      <c r="B9" s="3" t="s">
        <v>9</v>
      </c>
      <c r="C9" s="3" t="s">
        <v>11</v>
      </c>
      <c r="D9" s="2" t="s">
        <v>12</v>
      </c>
      <c r="E9" s="3" t="s">
        <v>10</v>
      </c>
    </row>
    <row r="10" spans="1:5" x14ac:dyDescent="0.3">
      <c r="B10" s="3">
        <f>B3</f>
        <v>60.417000000000002</v>
      </c>
      <c r="C10" s="3">
        <v>55.5</v>
      </c>
      <c r="D10" s="4">
        <v>0.6</v>
      </c>
      <c r="E10" s="5">
        <f>(B10-C10)*D10</f>
        <v>2.950200000000001</v>
      </c>
    </row>
    <row r="11" spans="1:5" x14ac:dyDescent="0.3">
      <c r="E11" s="3"/>
    </row>
    <row r="12" spans="1:5" x14ac:dyDescent="0.3">
      <c r="D12" s="2" t="s">
        <v>3</v>
      </c>
      <c r="E12" s="6">
        <f>E3</f>
        <v>48.333600000000004</v>
      </c>
    </row>
    <row r="13" spans="1:5" x14ac:dyDescent="0.3">
      <c r="D13" s="2" t="s">
        <v>4</v>
      </c>
      <c r="E13" s="6">
        <f>E3+E7+E10</f>
        <v>71.283799999999999</v>
      </c>
    </row>
    <row r="14" spans="1:5" ht="13.5" thickBot="1" x14ac:dyDescent="0.35">
      <c r="E14" s="3"/>
    </row>
    <row r="15" spans="1:5" ht="13.5" thickBot="1" x14ac:dyDescent="0.35">
      <c r="D15" s="2" t="s">
        <v>14</v>
      </c>
      <c r="E15" s="7">
        <f>E13</f>
        <v>71.283799999999999</v>
      </c>
    </row>
    <row r="17" spans="1:12" ht="13.5" thickBot="1" x14ac:dyDescent="0.35">
      <c r="A17" s="1" t="s">
        <v>19</v>
      </c>
      <c r="B17" s="1" t="s">
        <v>21</v>
      </c>
      <c r="C17" s="1"/>
      <c r="D17" s="1"/>
      <c r="E17" s="1"/>
      <c r="G17" s="1" t="s">
        <v>19</v>
      </c>
      <c r="H17" s="1" t="s">
        <v>23</v>
      </c>
      <c r="I17" s="1"/>
      <c r="J17" s="1"/>
      <c r="K17" s="1"/>
    </row>
    <row r="18" spans="1:12" ht="13.5" thickTop="1" x14ac:dyDescent="0.3">
      <c r="A18" s="2" t="s">
        <v>17</v>
      </c>
      <c r="B18" s="3" t="s">
        <v>1</v>
      </c>
      <c r="C18" s="3" t="s">
        <v>5</v>
      </c>
      <c r="D18" s="3"/>
      <c r="E18" s="3" t="s">
        <v>7</v>
      </c>
      <c r="G18" s="2" t="s">
        <v>17</v>
      </c>
      <c r="H18" s="3" t="s">
        <v>1</v>
      </c>
      <c r="I18" s="3" t="s">
        <v>5</v>
      </c>
      <c r="J18" s="3"/>
      <c r="K18" s="3" t="s">
        <v>7</v>
      </c>
    </row>
    <row r="19" spans="1:12" x14ac:dyDescent="0.3">
      <c r="B19" s="3">
        <v>56.887999999999998</v>
      </c>
      <c r="C19" s="4">
        <v>0.8</v>
      </c>
      <c r="D19" s="3"/>
      <c r="E19" s="5">
        <f>B19*C19</f>
        <v>45.510400000000004</v>
      </c>
      <c r="H19" s="3">
        <v>58.250999999999998</v>
      </c>
      <c r="I19" s="4">
        <v>0.8</v>
      </c>
      <c r="J19" s="3"/>
      <c r="K19" s="8">
        <f>H19*I19</f>
        <v>46.6008</v>
      </c>
    </row>
    <row r="20" spans="1:12" x14ac:dyDescent="0.3">
      <c r="B20" s="3"/>
      <c r="C20" s="3"/>
      <c r="D20" s="3"/>
      <c r="E20" s="3"/>
      <c r="H20" s="3"/>
      <c r="I20" s="3"/>
      <c r="J20" s="3"/>
      <c r="K20" s="3"/>
    </row>
    <row r="21" spans="1:12" x14ac:dyDescent="0.3">
      <c r="A21" s="2" t="s">
        <v>18</v>
      </c>
      <c r="B21" s="3" t="s">
        <v>2</v>
      </c>
      <c r="C21" s="3" t="s">
        <v>6</v>
      </c>
      <c r="D21" s="3"/>
      <c r="E21" s="3" t="s">
        <v>8</v>
      </c>
      <c r="G21" s="2" t="s">
        <v>18</v>
      </c>
      <c r="H21" s="3" t="s">
        <v>2</v>
      </c>
      <c r="I21" s="3" t="s">
        <v>6</v>
      </c>
      <c r="J21" s="3"/>
      <c r="K21" s="3" t="s">
        <v>8</v>
      </c>
    </row>
    <row r="22" spans="1:12" x14ac:dyDescent="0.3">
      <c r="B22" s="3">
        <v>100</v>
      </c>
      <c r="C22" s="4">
        <v>0.2</v>
      </c>
      <c r="D22" s="3"/>
      <c r="E22" s="5">
        <f>B22*C22</f>
        <v>20</v>
      </c>
      <c r="H22" s="9">
        <v>100</v>
      </c>
      <c r="I22" s="4">
        <v>0.2</v>
      </c>
      <c r="J22" s="3"/>
      <c r="K22" s="5">
        <f>H22*I22</f>
        <v>20</v>
      </c>
    </row>
    <row r="23" spans="1:12" x14ac:dyDescent="0.3">
      <c r="B23" s="3"/>
      <c r="C23" s="3"/>
      <c r="D23" s="3"/>
      <c r="E23" s="3"/>
      <c r="H23" s="3"/>
      <c r="I23" s="3"/>
      <c r="J23" s="3"/>
      <c r="K23" s="3"/>
      <c r="L23" s="2" t="s">
        <v>28</v>
      </c>
    </row>
    <row r="24" spans="1:12" x14ac:dyDescent="0.3">
      <c r="A24" s="2" t="s">
        <v>16</v>
      </c>
      <c r="B24" s="3" t="s">
        <v>9</v>
      </c>
      <c r="C24" s="3" t="s">
        <v>11</v>
      </c>
      <c r="D24" s="3" t="s">
        <v>12</v>
      </c>
      <c r="E24" s="3" t="s">
        <v>10</v>
      </c>
      <c r="G24" s="2" t="s">
        <v>16</v>
      </c>
      <c r="H24" s="3" t="s">
        <v>9</v>
      </c>
      <c r="I24" s="3" t="s">
        <v>11</v>
      </c>
      <c r="J24" s="3" t="s">
        <v>12</v>
      </c>
      <c r="K24" s="3" t="s">
        <v>10</v>
      </c>
      <c r="L24" s="2" t="s">
        <v>28</v>
      </c>
    </row>
    <row r="25" spans="1:12" x14ac:dyDescent="0.3">
      <c r="B25" s="3">
        <f>B19</f>
        <v>56.887999999999998</v>
      </c>
      <c r="C25" s="3">
        <v>54</v>
      </c>
      <c r="D25" s="4">
        <v>0.5</v>
      </c>
      <c r="E25" s="5">
        <f>(B25-C25)*D25</f>
        <v>1.4439999999999991</v>
      </c>
      <c r="G25" s="2" t="s">
        <v>28</v>
      </c>
      <c r="H25" s="3">
        <f>H19</f>
        <v>58.250999999999998</v>
      </c>
      <c r="I25" s="3">
        <v>54</v>
      </c>
      <c r="J25" s="9">
        <v>0.5</v>
      </c>
      <c r="K25" s="8">
        <f>(H25-I25)*J25</f>
        <v>2.1254999999999988</v>
      </c>
      <c r="L25" s="2" t="s">
        <v>28</v>
      </c>
    </row>
    <row r="26" spans="1:12" x14ac:dyDescent="0.3">
      <c r="E26" s="3"/>
      <c r="K26" s="3"/>
      <c r="L26" s="15">
        <v>0.5</v>
      </c>
    </row>
    <row r="27" spans="1:12" x14ac:dyDescent="0.3">
      <c r="D27" s="2" t="s">
        <v>3</v>
      </c>
      <c r="E27" s="6">
        <f>E19</f>
        <v>45.510400000000004</v>
      </c>
      <c r="G27" s="2" t="s">
        <v>29</v>
      </c>
      <c r="J27" s="2" t="s">
        <v>3</v>
      </c>
      <c r="K27" s="6">
        <f>K19</f>
        <v>46.6008</v>
      </c>
      <c r="L27" s="6">
        <f>K27/2</f>
        <v>23.3004</v>
      </c>
    </row>
    <row r="28" spans="1:12" x14ac:dyDescent="0.3">
      <c r="D28" s="2" t="s">
        <v>4</v>
      </c>
      <c r="E28" s="6">
        <f>E19+E22+E25</f>
        <v>66.954400000000007</v>
      </c>
      <c r="G28" s="2" t="s">
        <v>30</v>
      </c>
      <c r="J28" s="2" t="s">
        <v>4</v>
      </c>
      <c r="K28" s="6">
        <f>K19+K22+K25</f>
        <v>68.726299999999995</v>
      </c>
      <c r="L28" s="6">
        <f>K28/2</f>
        <v>34.363149999999997</v>
      </c>
    </row>
    <row r="29" spans="1:12" ht="13.5" thickBot="1" x14ac:dyDescent="0.35">
      <c r="E29" s="3"/>
      <c r="K29" s="3"/>
      <c r="L29" s="3"/>
    </row>
    <row r="30" spans="1:12" ht="13.5" thickBot="1" x14ac:dyDescent="0.35">
      <c r="D30" s="2" t="s">
        <v>14</v>
      </c>
      <c r="E30" s="7">
        <f>E28</f>
        <v>66.954400000000007</v>
      </c>
      <c r="J30" s="2" t="s">
        <v>14</v>
      </c>
      <c r="K30" s="10">
        <f>K28</f>
        <v>68.726299999999995</v>
      </c>
      <c r="L30" s="7">
        <f>L27+L28</f>
        <v>57.663550000000001</v>
      </c>
    </row>
    <row r="33" spans="1:11" ht="13.5" thickBot="1" x14ac:dyDescent="0.35">
      <c r="A33" s="1" t="s">
        <v>0</v>
      </c>
      <c r="B33" s="1" t="s">
        <v>26</v>
      </c>
      <c r="C33" s="1"/>
      <c r="D33" s="1"/>
      <c r="E33" s="1"/>
      <c r="G33" s="1" t="s">
        <v>24</v>
      </c>
      <c r="H33" s="1" t="s">
        <v>25</v>
      </c>
      <c r="I33" s="1"/>
      <c r="J33" s="1"/>
      <c r="K33" s="1"/>
    </row>
    <row r="34" spans="1:11" ht="13.5" thickTop="1" x14ac:dyDescent="0.3">
      <c r="A34" s="2" t="s">
        <v>17</v>
      </c>
      <c r="B34" s="3" t="s">
        <v>1</v>
      </c>
      <c r="C34" s="3" t="s">
        <v>5</v>
      </c>
      <c r="D34" s="3"/>
      <c r="E34" s="3" t="s">
        <v>7</v>
      </c>
      <c r="G34" s="2" t="s">
        <v>17</v>
      </c>
      <c r="H34" s="3" t="s">
        <v>1</v>
      </c>
      <c r="I34" s="3" t="s">
        <v>5</v>
      </c>
      <c r="J34" s="3"/>
      <c r="K34" s="3" t="s">
        <v>7</v>
      </c>
    </row>
    <row r="35" spans="1:11" x14ac:dyDescent="0.3">
      <c r="B35" s="3">
        <v>68.777000000000001</v>
      </c>
      <c r="C35" s="4">
        <v>0.6</v>
      </c>
      <c r="D35" s="3"/>
      <c r="E35" s="5">
        <f>B35*C35</f>
        <v>41.266199999999998</v>
      </c>
      <c r="H35" s="3">
        <v>63.390999999999998</v>
      </c>
      <c r="I35" s="4">
        <v>0.8</v>
      </c>
      <c r="J35" s="3"/>
      <c r="K35" s="5">
        <f>H35*I35</f>
        <v>50.712800000000001</v>
      </c>
    </row>
    <row r="36" spans="1:11" x14ac:dyDescent="0.3">
      <c r="B36" s="3"/>
      <c r="C36" s="3"/>
      <c r="D36" s="3"/>
      <c r="E36" s="3"/>
      <c r="H36" s="3"/>
      <c r="I36" s="3"/>
      <c r="J36" s="3"/>
      <c r="K36" s="3"/>
    </row>
    <row r="37" spans="1:11" x14ac:dyDescent="0.3">
      <c r="A37" s="2" t="s">
        <v>18</v>
      </c>
      <c r="B37" s="3" t="s">
        <v>2</v>
      </c>
      <c r="C37" s="3" t="s">
        <v>6</v>
      </c>
      <c r="D37" s="3"/>
      <c r="E37" s="3" t="s">
        <v>8</v>
      </c>
      <c r="G37" s="2" t="s">
        <v>18</v>
      </c>
      <c r="H37" s="3" t="s">
        <v>2</v>
      </c>
      <c r="I37" s="3" t="s">
        <v>6</v>
      </c>
      <c r="J37" s="3"/>
      <c r="K37" s="3" t="s">
        <v>8</v>
      </c>
    </row>
    <row r="38" spans="1:11" x14ac:dyDescent="0.3">
      <c r="B38" s="3">
        <v>100</v>
      </c>
      <c r="C38" s="4">
        <v>0.4</v>
      </c>
      <c r="D38" s="3"/>
      <c r="E38" s="5">
        <f>B38*C38</f>
        <v>40</v>
      </c>
      <c r="H38" s="3">
        <v>100</v>
      </c>
      <c r="I38" s="4">
        <v>0.2</v>
      </c>
      <c r="J38" s="3"/>
      <c r="K38" s="5">
        <f>H38*I38</f>
        <v>20</v>
      </c>
    </row>
    <row r="39" spans="1:11" x14ac:dyDescent="0.3">
      <c r="B39" s="3"/>
      <c r="C39" s="3"/>
      <c r="D39" s="3"/>
      <c r="E39" s="3"/>
      <c r="H39" s="3"/>
      <c r="I39" s="3"/>
      <c r="J39" s="3"/>
      <c r="K39" s="3"/>
    </row>
    <row r="40" spans="1:11" x14ac:dyDescent="0.3">
      <c r="A40" s="2" t="s">
        <v>16</v>
      </c>
      <c r="B40" s="3" t="s">
        <v>9</v>
      </c>
      <c r="C40" s="3" t="s">
        <v>11</v>
      </c>
      <c r="D40" s="3" t="s">
        <v>12</v>
      </c>
      <c r="E40" s="3" t="s">
        <v>10</v>
      </c>
      <c r="G40" s="2" t="s">
        <v>16</v>
      </c>
      <c r="H40" s="3" t="s">
        <v>9</v>
      </c>
      <c r="I40" s="3" t="s">
        <v>11</v>
      </c>
      <c r="J40" s="3" t="s">
        <v>12</v>
      </c>
      <c r="K40" s="3" t="s">
        <v>10</v>
      </c>
    </row>
    <row r="41" spans="1:11" x14ac:dyDescent="0.3">
      <c r="B41" s="3">
        <f>B35</f>
        <v>68.777000000000001</v>
      </c>
      <c r="C41" s="3">
        <v>54</v>
      </c>
      <c r="D41" s="3">
        <v>0.25</v>
      </c>
      <c r="E41" s="5">
        <f>(B41-C41)*D41</f>
        <v>3.6942500000000003</v>
      </c>
      <c r="H41" s="3">
        <f>H35</f>
        <v>63.390999999999998</v>
      </c>
      <c r="I41" s="3">
        <v>52.5</v>
      </c>
      <c r="J41" s="4">
        <v>0.5</v>
      </c>
      <c r="K41" s="5">
        <f>(H41-I41)*J41</f>
        <v>5.4454999999999991</v>
      </c>
    </row>
    <row r="42" spans="1:11" x14ac:dyDescent="0.3">
      <c r="E42" s="3"/>
    </row>
    <row r="43" spans="1:11" x14ac:dyDescent="0.3">
      <c r="D43" s="2" t="s">
        <v>3</v>
      </c>
      <c r="E43" s="6">
        <f>E35</f>
        <v>41.266199999999998</v>
      </c>
      <c r="J43" s="2" t="s">
        <v>3</v>
      </c>
      <c r="K43" s="6">
        <f>K35</f>
        <v>50.712800000000001</v>
      </c>
    </row>
    <row r="44" spans="1:11" x14ac:dyDescent="0.3">
      <c r="D44" s="2" t="s">
        <v>4</v>
      </c>
      <c r="E44" s="6">
        <f>E35+E38+E41</f>
        <v>84.960449999999994</v>
      </c>
      <c r="J44" s="2" t="s">
        <v>4</v>
      </c>
      <c r="K44" s="6">
        <f>K35+K38+K41</f>
        <v>76.158299999999997</v>
      </c>
    </row>
    <row r="45" spans="1:11" x14ac:dyDescent="0.3">
      <c r="E45" s="3"/>
      <c r="K45" s="3"/>
    </row>
    <row r="46" spans="1:11" x14ac:dyDescent="0.3">
      <c r="A46" s="2" t="s">
        <v>15</v>
      </c>
      <c r="D46" s="2" t="s">
        <v>13</v>
      </c>
      <c r="E46" s="11">
        <v>0.9</v>
      </c>
      <c r="G46" s="2" t="s">
        <v>15</v>
      </c>
      <c r="J46" s="2" t="s">
        <v>13</v>
      </c>
      <c r="K46" s="12">
        <v>1.1000000000000001</v>
      </c>
    </row>
    <row r="47" spans="1:11" ht="13.5" thickBot="1" x14ac:dyDescent="0.35">
      <c r="D47" s="2" t="s">
        <v>13</v>
      </c>
      <c r="E47" s="11">
        <v>1.1000000000000001</v>
      </c>
      <c r="K47" s="3"/>
    </row>
    <row r="48" spans="1:11" ht="13.5" thickBot="1" x14ac:dyDescent="0.35">
      <c r="J48" s="2" t="s">
        <v>14</v>
      </c>
      <c r="K48" s="7">
        <f>K44*K46</f>
        <v>83.77413</v>
      </c>
    </row>
    <row r="49" spans="4:5" ht="13.5" thickBot="1" x14ac:dyDescent="0.35">
      <c r="D49" s="14" t="s">
        <v>76</v>
      </c>
      <c r="E49" s="7">
        <f>E44*E46</f>
        <v>76.464404999999999</v>
      </c>
    </row>
    <row r="50" spans="4:5" ht="13.5" thickBot="1" x14ac:dyDescent="0.35">
      <c r="D50" s="14" t="s">
        <v>77</v>
      </c>
      <c r="E50" s="7">
        <f>E44*E47</f>
        <v>93.456495000000004</v>
      </c>
    </row>
  </sheetData>
  <pageMargins left="0.25" right="0.25" top="0.5" bottom="0.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46D4-40A0-45E6-B244-4FC7E03C43B5}">
  <dimension ref="A1:M38"/>
  <sheetViews>
    <sheetView workbookViewId="0">
      <selection activeCell="C11" sqref="C11"/>
    </sheetView>
  </sheetViews>
  <sheetFormatPr defaultRowHeight="14.5" x14ac:dyDescent="0.35"/>
  <cols>
    <col min="1" max="1" width="14.7265625" style="13" bestFit="1" customWidth="1"/>
    <col min="2" max="2" width="9.1796875" style="13"/>
    <col min="3" max="3" width="10.453125" bestFit="1" customWidth="1"/>
    <col min="4" max="4" width="11.54296875" style="13" bestFit="1" customWidth="1"/>
    <col min="5" max="5" width="9.1796875" style="13"/>
    <col min="6" max="6" width="10.453125" bestFit="1" customWidth="1"/>
    <col min="7" max="7" width="11.54296875" bestFit="1" customWidth="1"/>
    <col min="8" max="8" width="9.1796875" style="13"/>
    <col min="10" max="11" width="9.1796875" style="13"/>
    <col min="13" max="13" width="9.1796875" style="13"/>
  </cols>
  <sheetData>
    <row r="1" spans="1:13" x14ac:dyDescent="0.35">
      <c r="A1" s="13" t="s">
        <v>31</v>
      </c>
      <c r="B1" s="13" t="s">
        <v>40</v>
      </c>
      <c r="D1" s="13" t="s">
        <v>41</v>
      </c>
      <c r="E1" s="13" t="s">
        <v>40</v>
      </c>
      <c r="G1" s="13" t="s">
        <v>42</v>
      </c>
      <c r="J1" s="13" t="s">
        <v>44</v>
      </c>
      <c r="K1" s="13" t="s">
        <v>28</v>
      </c>
      <c r="M1" s="13" t="s">
        <v>46</v>
      </c>
    </row>
    <row r="2" spans="1:13" x14ac:dyDescent="0.35">
      <c r="A2" s="13" t="s">
        <v>32</v>
      </c>
      <c r="B2" s="13">
        <v>0.152</v>
      </c>
      <c r="D2" s="13">
        <v>60</v>
      </c>
      <c r="E2" s="13">
        <v>0.41099999999999998</v>
      </c>
      <c r="G2" s="13">
        <v>60</v>
      </c>
      <c r="H2" s="13" t="s">
        <v>43</v>
      </c>
      <c r="J2" s="13" t="s">
        <v>28</v>
      </c>
      <c r="K2" s="13" t="s">
        <v>28</v>
      </c>
    </row>
    <row r="3" spans="1:13" x14ac:dyDescent="0.35">
      <c r="A3" s="13" t="s">
        <v>33</v>
      </c>
      <c r="B3" s="13">
        <v>0.183</v>
      </c>
      <c r="D3" s="13">
        <v>50</v>
      </c>
      <c r="E3" s="13">
        <v>0.47</v>
      </c>
      <c r="G3" s="13">
        <v>50</v>
      </c>
      <c r="H3" s="13" t="s">
        <v>43</v>
      </c>
      <c r="J3" s="13" t="s">
        <v>28</v>
      </c>
      <c r="K3" s="13" t="s">
        <v>28</v>
      </c>
    </row>
    <row r="4" spans="1:13" x14ac:dyDescent="0.35">
      <c r="A4" s="13" t="s">
        <v>34</v>
      </c>
      <c r="B4" s="13">
        <v>0.50600000000000001</v>
      </c>
      <c r="D4" s="13">
        <v>40</v>
      </c>
      <c r="E4" s="13">
        <v>0.57599999999999996</v>
      </c>
      <c r="G4" s="13">
        <v>40</v>
      </c>
      <c r="H4" s="13" t="s">
        <v>43</v>
      </c>
      <c r="J4" s="13" t="s">
        <v>28</v>
      </c>
      <c r="K4" s="13" t="s">
        <v>28</v>
      </c>
    </row>
    <row r="5" spans="1:13" x14ac:dyDescent="0.35">
      <c r="A5" s="13" t="s">
        <v>35</v>
      </c>
      <c r="B5" s="13">
        <v>0.60799999999999998</v>
      </c>
      <c r="D5" s="13">
        <v>30</v>
      </c>
      <c r="E5" s="13">
        <v>0.66200000000000003</v>
      </c>
      <c r="G5" s="13">
        <v>30</v>
      </c>
      <c r="H5" s="13" t="s">
        <v>43</v>
      </c>
      <c r="J5" s="13" t="s">
        <v>28</v>
      </c>
      <c r="K5" s="13" t="s">
        <v>28</v>
      </c>
    </row>
    <row r="6" spans="1:13" x14ac:dyDescent="0.35">
      <c r="A6" s="13" t="s">
        <v>36</v>
      </c>
      <c r="B6" s="13">
        <v>0.71899999999999997</v>
      </c>
      <c r="D6" s="13">
        <v>20</v>
      </c>
      <c r="E6" s="13">
        <v>0.88300000000000001</v>
      </c>
      <c r="G6" s="13">
        <v>20</v>
      </c>
      <c r="H6" s="13">
        <v>0.161</v>
      </c>
      <c r="J6" s="13" t="s">
        <v>28</v>
      </c>
      <c r="K6" s="13" t="s">
        <v>28</v>
      </c>
    </row>
    <row r="7" spans="1:13" x14ac:dyDescent="0.35">
      <c r="A7" s="13" t="s">
        <v>37</v>
      </c>
      <c r="B7" s="13">
        <v>0.86399999999999999</v>
      </c>
      <c r="D7" s="13">
        <v>10</v>
      </c>
      <c r="E7" s="13">
        <v>1.034</v>
      </c>
      <c r="G7" s="13">
        <v>10</v>
      </c>
      <c r="H7" s="13">
        <v>0.45600000000000002</v>
      </c>
      <c r="J7" s="13" t="s">
        <v>28</v>
      </c>
      <c r="K7" s="13" t="s">
        <v>28</v>
      </c>
    </row>
    <row r="8" spans="1:13" x14ac:dyDescent="0.35">
      <c r="A8" s="13" t="s">
        <v>38</v>
      </c>
      <c r="B8" s="13">
        <v>1.0820000000000001</v>
      </c>
    </row>
    <row r="9" spans="1:13" x14ac:dyDescent="0.35">
      <c r="A9" s="13" t="s">
        <v>39</v>
      </c>
      <c r="B9" s="13">
        <v>1.3</v>
      </c>
    </row>
    <row r="11" spans="1:13" x14ac:dyDescent="0.35">
      <c r="A11" s="13" t="s">
        <v>47</v>
      </c>
      <c r="B11" s="13">
        <v>2.6070000000000002</v>
      </c>
      <c r="C11" t="s">
        <v>75</v>
      </c>
      <c r="D11" s="13" t="s">
        <v>64</v>
      </c>
      <c r="E11" s="13">
        <v>-2.319</v>
      </c>
      <c r="F11" t="s">
        <v>65</v>
      </c>
    </row>
    <row r="12" spans="1:13" x14ac:dyDescent="0.35">
      <c r="A12" s="13" t="s">
        <v>74</v>
      </c>
      <c r="B12" s="13">
        <v>2.6070000000000002</v>
      </c>
      <c r="C12" t="s">
        <v>75</v>
      </c>
      <c r="D12" s="13" t="s">
        <v>66</v>
      </c>
      <c r="E12" s="13">
        <v>1.9630000000000001</v>
      </c>
      <c r="F12" t="s">
        <v>68</v>
      </c>
    </row>
    <row r="13" spans="1:13" x14ac:dyDescent="0.35">
      <c r="D13" s="13" t="s">
        <v>67</v>
      </c>
      <c r="E13" s="13">
        <v>1.196</v>
      </c>
      <c r="F13" t="s">
        <v>73</v>
      </c>
    </row>
    <row r="14" spans="1:13" x14ac:dyDescent="0.35">
      <c r="D14" s="13" t="s">
        <v>69</v>
      </c>
      <c r="E14" s="13">
        <v>0.499</v>
      </c>
      <c r="F14" t="s">
        <v>70</v>
      </c>
    </row>
    <row r="15" spans="1:13" x14ac:dyDescent="0.35">
      <c r="D15" s="13" t="s">
        <v>71</v>
      </c>
      <c r="E15" s="13">
        <v>0.95299999999999996</v>
      </c>
      <c r="F15" t="s">
        <v>72</v>
      </c>
    </row>
    <row r="21" spans="1:13" x14ac:dyDescent="0.35">
      <c r="A21" s="13" t="s">
        <v>45</v>
      </c>
      <c r="B21" s="13">
        <v>80</v>
      </c>
      <c r="D21" s="13">
        <v>117</v>
      </c>
      <c r="G21">
        <v>87</v>
      </c>
      <c r="J21" s="13">
        <v>44</v>
      </c>
      <c r="M21" s="13">
        <v>94</v>
      </c>
    </row>
    <row r="23" spans="1:13" x14ac:dyDescent="0.35">
      <c r="A23" s="13" t="s">
        <v>59</v>
      </c>
      <c r="D23" s="13" t="s">
        <v>60</v>
      </c>
      <c r="G23" t="s">
        <v>59</v>
      </c>
    </row>
    <row r="24" spans="1:13" x14ac:dyDescent="0.35">
      <c r="A24" s="13" t="s">
        <v>50</v>
      </c>
      <c r="D24" s="13" t="s">
        <v>48</v>
      </c>
      <c r="G24" t="s">
        <v>53</v>
      </c>
    </row>
    <row r="25" spans="1:13" x14ac:dyDescent="0.35">
      <c r="A25" s="13" t="s">
        <v>49</v>
      </c>
      <c r="D25" s="13" t="s">
        <v>49</v>
      </c>
      <c r="G25" t="s">
        <v>48</v>
      </c>
    </row>
    <row r="26" spans="1:13" x14ac:dyDescent="0.35">
      <c r="A26" s="13" t="s">
        <v>55</v>
      </c>
      <c r="D26" s="13" t="s">
        <v>50</v>
      </c>
      <c r="G26" t="s">
        <v>50</v>
      </c>
    </row>
    <row r="27" spans="1:13" x14ac:dyDescent="0.35">
      <c r="D27" s="13" t="s">
        <v>51</v>
      </c>
    </row>
    <row r="30" spans="1:13" x14ac:dyDescent="0.35">
      <c r="A30" s="13" t="s">
        <v>61</v>
      </c>
      <c r="D30" s="13" t="s">
        <v>62</v>
      </c>
      <c r="G30" t="s">
        <v>63</v>
      </c>
    </row>
    <row r="31" spans="1:13" x14ac:dyDescent="0.35">
      <c r="A31" s="13" t="s">
        <v>58</v>
      </c>
      <c r="D31" s="13" t="s">
        <v>52</v>
      </c>
      <c r="G31" t="s">
        <v>57</v>
      </c>
    </row>
    <row r="32" spans="1:13" x14ac:dyDescent="0.35">
      <c r="A32" s="13" t="s">
        <v>51</v>
      </c>
      <c r="D32" s="13" t="s">
        <v>53</v>
      </c>
      <c r="G32" t="s">
        <v>55</v>
      </c>
    </row>
    <row r="33" spans="1:7" x14ac:dyDescent="0.35">
      <c r="A33" s="13" t="s">
        <v>48</v>
      </c>
      <c r="D33" s="13" t="s">
        <v>54</v>
      </c>
      <c r="G33" t="s">
        <v>52</v>
      </c>
    </row>
    <row r="34" spans="1:7" x14ac:dyDescent="0.35">
      <c r="A34" s="13" t="s">
        <v>56</v>
      </c>
      <c r="D34" s="13" t="s">
        <v>55</v>
      </c>
      <c r="G34" t="s">
        <v>56</v>
      </c>
    </row>
    <row r="35" spans="1:7" x14ac:dyDescent="0.35">
      <c r="A35" s="13" t="s">
        <v>53</v>
      </c>
      <c r="D35" s="13" t="s">
        <v>56</v>
      </c>
      <c r="G35" t="s">
        <v>54</v>
      </c>
    </row>
    <row r="36" spans="1:7" x14ac:dyDescent="0.35">
      <c r="A36" s="13" t="s">
        <v>54</v>
      </c>
      <c r="D36" s="13" t="s">
        <v>57</v>
      </c>
      <c r="G36" t="s">
        <v>51</v>
      </c>
    </row>
    <row r="37" spans="1:7" x14ac:dyDescent="0.35">
      <c r="D37" s="13" t="s">
        <v>58</v>
      </c>
      <c r="G37" t="s">
        <v>58</v>
      </c>
    </row>
    <row r="38" spans="1:7" x14ac:dyDescent="0.35">
      <c r="G3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Show the Math</vt:lpstr>
      <vt:lpstr>Single Game Replace Bad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Aaker</dc:creator>
  <cp:lastModifiedBy>Aaron Aaker</cp:lastModifiedBy>
  <cp:lastPrinted>2024-12-18T12:40:05Z</cp:lastPrinted>
  <dcterms:created xsi:type="dcterms:W3CDTF">2024-12-17T17:44:01Z</dcterms:created>
  <dcterms:modified xsi:type="dcterms:W3CDTF">2025-05-09T09:27:38Z</dcterms:modified>
</cp:coreProperties>
</file>